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rs Programı" sheetId="1" state="visible" r:id="rId3"/>
    <sheet name="Modül Özeti" sheetId="2" state="visible" r:id="rId4"/>
    <sheet name="Açıklamalar" sheetId="3" state="visible" r:id="rId5"/>
  </sheets>
  <definedNames>
    <definedName function="false" hidden="true" localSheetId="0" name="_xlnm._FilterDatabase" vbProcedure="false">'Ders Programı'!$A$5:$J$84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<sst xmlns="http://schemas.openxmlformats.org/spreadsheetml/2006/main" count="529" uniqueCount="156">
  <si>
    <t xml:space="preserve">Çocuk Gastroenteroloji Akademik Eğitim Programı 2026–2027</t>
  </si>
  <si>
    <t xml:space="preserve">15 Eylül 2026 – 15 Haziran 2027 · Salı ve Perşembe · 75 eğitim oturumu</t>
  </si>
  <si>
    <t xml:space="preserve">Sarı hücreler doldurulacak alanlardır (Öğretim Üyesi, Yer/Not). Örnek biçim: 'Prof. Dr. A. Yılmaz'</t>
  </si>
  <si>
    <t xml:space="preserve">#</t>
  </si>
  <si>
    <t xml:space="preserve">Tarih</t>
  </si>
  <si>
    <t xml:space="preserve">Gün</t>
  </si>
  <si>
    <t xml:space="preserve">Ay</t>
  </si>
  <si>
    <t xml:space="preserve">Modül</t>
  </si>
  <si>
    <t xml:space="preserve">Konu</t>
  </si>
  <si>
    <t xml:space="preserve">Format</t>
  </si>
  <si>
    <t xml:space="preserve">Düzey</t>
  </si>
  <si>
    <t xml:space="preserve">Öğretim Üyesi</t>
  </si>
  <si>
    <t xml:space="preserve">Yer / Not</t>
  </si>
  <si>
    <t xml:space="preserve">Salı</t>
  </si>
  <si>
    <t xml:space="preserve">Eylül 2026</t>
  </si>
  <si>
    <t xml:space="preserve">Modül 1: Temel Bilimler ve Oryantasyon</t>
  </si>
  <si>
    <t xml:space="preserve">Açılış: program hedefleri, yetkinlik çerçevesi, portfolyo ve değerlendirme sistemi (mini-CEX, DOPS tanıtımı); GİS embriyolojisine genel bakış</t>
  </si>
  <si>
    <t xml:space="preserve">D</t>
  </si>
  <si>
    <t xml:space="preserve">Ç</t>
  </si>
  <si>
    <t xml:space="preserve">Prof. Dr. A. Yılmaz (örnek — değiştirin)</t>
  </si>
  <si>
    <t xml:space="preserve">Perşembe</t>
  </si>
  <si>
    <t xml:space="preserve">GİS anatomi ve histolojisi: endoskopik-mikroskobik korelasyon</t>
  </si>
  <si>
    <t xml:space="preserve">Sindirim ve emilim fizyolojisi: motilite, sekresyon, emilim, enterohepatik dolaşım (ön okuma destekli yoğun oturum)</t>
  </si>
  <si>
    <t xml:space="preserve">GİS immünolojisi, bağırsak bariyeri ve mikrobiyota + Modül 1 quiz</t>
  </si>
  <si>
    <t xml:space="preserve">Akut ve kronik karın ağrısına yaklaşım: ayırıcı tanı, alarm bulguları</t>
  </si>
  <si>
    <t xml:space="preserve">OT</t>
  </si>
  <si>
    <t xml:space="preserve">Ekim 2026</t>
  </si>
  <si>
    <t xml:space="preserve">Modül 2: Acil ve Sık GİS Sorunlarına Yaklaşım (nöbet-hazırlık bloğu)</t>
  </si>
  <si>
    <t xml:space="preserve">Kusmalı çocuğa yaklaşım: yaşa göre ayırıcı tanı</t>
  </si>
  <si>
    <t xml:space="preserve">İshalli çocuğa yaklaşım: akut-persistan-kronik ayrımı; enfeksiyöz etiyoloji ve parazitozlar</t>
  </si>
  <si>
    <t xml:space="preserve">Kabızlığa yaklaşım; organik nedenlerin dışlanması ve Hirschsprung kırmızı bayrakları</t>
  </si>
  <si>
    <t xml:space="preserve">Büyüme geriliği ve malnütrisyona yaklaşım: nütrisyonel değerlendirme; vitamin ve eser element eksiklikleri</t>
  </si>
  <si>
    <t xml:space="preserve">GİS kanaması: yaşa göre ayırıcı tanı; varis ve varis dışı kanamanın akut yönetimi</t>
  </si>
  <si>
    <t xml:space="preserve">Acil hepato-pankreatoloji: akut karaciğer yetmezliğine ilk yaklaşım; akut pankreatitin ilk 48 saati</t>
  </si>
  <si>
    <t xml:space="preserve">Pediatrik endoskopi temelleri: endikasyonlar, bilgilendirilmiş onam, sedasyon, komplikasyonlar</t>
  </si>
  <si>
    <t xml:space="preserve">Pediatrik GİS'te görüntüleme: hangi test, ne zaman? (radyoloji ile ortak oturum) + Modül 2 quiz</t>
  </si>
  <si>
    <t xml:space="preserve">P</t>
  </si>
  <si>
    <t xml:space="preserve">Cumhuriyet Bayramı — ders yok</t>
  </si>
  <si>
    <t xml:space="preserve">Kasım 2026</t>
  </si>
  <si>
    <t xml:space="preserve">Modül 3: Özofagus ve Mide</t>
  </si>
  <si>
    <t xml:space="preserve">Akademik gelişim I: araştırma sorusu ve çalışma tasarımı; fellow proje önerisi sunumları</t>
  </si>
  <si>
    <t xml:space="preserve">GÖR ve GÖRH: ESPGHAN/NASPGHAN 2018 kılavuzu eşliğinde tanı-tedavi; fundoplikasyon endikasyonları</t>
  </si>
  <si>
    <t xml:space="preserve">KO</t>
  </si>
  <si>
    <t xml:space="preserve">Disfaji; özofagus anomalileri ve akalazya</t>
  </si>
  <si>
    <t xml:space="preserve">Koroziv özofajit ve GİS yabancı cisimleri: acil endoskopik yönetim</t>
  </si>
  <si>
    <t xml:space="preserve">Eozinofilik özofajit ve eozinofilik GİS hastalıkları</t>
  </si>
  <si>
    <t xml:space="preserve">pH-metre, pH-impedans ve özofagus manometrisi: trase yorumlama pratiği</t>
  </si>
  <si>
    <t xml:space="preserve">İ</t>
  </si>
  <si>
    <t xml:space="preserve">Helicobacter pylori (ESPGHAN/NASPGHAN kılavuzu); gastritler ve peptik ülser</t>
  </si>
  <si>
    <t xml:space="preserve">Olgu saati I: özofagus-mide olguları (güncel bir makale ile ilişkilendirilerek) + Modül 3 quiz</t>
  </si>
  <si>
    <t xml:space="preserve">Aralık 2026</t>
  </si>
  <si>
    <t xml:space="preserve">Modül 4: İnce Bağırsak, Malabsorpsiyon, Çölyak ve Besin Alerjileri</t>
  </si>
  <si>
    <t xml:space="preserve">Malabsorpsiyona yaklaşım; karbonhidrat malabsorpsiyonları (laktoz, fruktoz, sükraz-izomaltaz)</t>
  </si>
  <si>
    <t xml:space="preserve">Çölyak hastalığı I: patogenez, genetik, klinik spektrum</t>
  </si>
  <si>
    <t xml:space="preserve">Çölyak hastalığı II: ESPGHAN tanı algoritması, izlem ve diyet uyumu</t>
  </si>
  <si>
    <t xml:space="preserve">GİS histopatolojisi I: ince bağırsak biyopsisi ve Marsh-Oberhuber sınıflaması (patoloji ile ortak oturum)</t>
  </si>
  <si>
    <t xml:space="preserve">İnek sütü protein alerjisi ve IgE aracılı besin alerjileri</t>
  </si>
  <si>
    <t xml:space="preserve">Non-IgE aracılı reaksiyonlar: FPIES, alerjik proktokolit, enteropati</t>
  </si>
  <si>
    <t xml:space="preserve">Konjenital ishaller ve enteropatiler; protein kaybettiren enteropati</t>
  </si>
  <si>
    <t xml:space="preserve">İmmün baskılanmış çocukta GİS: primer immün yetmezlikler, GVHD, nötropenik enterokolit</t>
  </si>
  <si>
    <t xml:space="preserve">Olgu saati II: malabsorpsiyon, çölyak ve besin alerjisi olguları + Modül 4 quiz</t>
  </si>
  <si>
    <t xml:space="preserve">Journal Club I: kritik makale değerlendirme yöntemi ve temel biyoistatistik (çölyak literatürü üzerinden)</t>
  </si>
  <si>
    <t xml:space="preserve">JC</t>
  </si>
  <si>
    <t xml:space="preserve">Ocak 2027</t>
  </si>
  <si>
    <t xml:space="preserve">Modül 5: İnflamatuvar Bağırsak Hastalıkları</t>
  </si>
  <si>
    <t xml:space="preserve">İBH: epidemiyoloji, genetik ve patogenez</t>
  </si>
  <si>
    <t xml:space="preserve">Crohn hastalığı: klinik, Paris sınıflaması; Porto kriterleri ile tanısal değerlendirme</t>
  </si>
  <si>
    <t xml:space="preserve">Ülseratif kolit; akut şiddetli kolit yönetimi</t>
  </si>
  <si>
    <t xml:space="preserve">Çok erken başlangıçlı İBH (VEO-IBD) ve monogenik nedenler</t>
  </si>
  <si>
    <t xml:space="preserve">İBH tedavisi I: ekslusif enteral beslenme, 5-ASA, kortikosteroidler, immünomodülatörler</t>
  </si>
  <si>
    <t xml:space="preserve">İBH tedavisi II: biyolojik ajanlar, küçük moleküller, treat-to-target stratejisi</t>
  </si>
  <si>
    <t xml:space="preserve">Multidisipliner İBH konseyi: MR enterografi, İBH histopatolojisi ve cerrahi endikasyonlar (radyoloji, patoloji ve çocuk cerrahisi ile ortak)</t>
  </si>
  <si>
    <t xml:space="preserve">Yarıyıl ara değerlendirmesi: ilk yarıyılı kapsayan kümülatif sınav, portfolyo görüşmesi, proje ara değerlendirmesi ve bireysel geri bildirim</t>
  </si>
  <si>
    <t xml:space="preserve">Değ</t>
  </si>
  <si>
    <t xml:space="preserve">Şubat 2027</t>
  </si>
  <si>
    <t xml:space="preserve">Modül 5 Kapanış / Modül 6: Fonksiyonel GİS ve Motilite / Modül 7 Başlangıcı</t>
  </si>
  <si>
    <t xml:space="preserve">İBH: ekstraintestinal bulgular, komplikasyonlar, aşılama ve enfeksiyon taraması</t>
  </si>
  <si>
    <t xml:space="preserve">Olgu saati III: İBH olguları</t>
  </si>
  <si>
    <t xml:space="preserve">Journal Club II: İBH tedavisinde bir biyolojik ajan RCT'sinin kritik değerlendirmesi</t>
  </si>
  <si>
    <t xml:space="preserve">Roma IV kriterleri; süt çocuğu fonksiyonel bozuklukları (kolik, regürjitasyon, diskezi)</t>
  </si>
  <si>
    <t xml:space="preserve">Fonksiyonel karın ağrısı ve İBS: biyopsikososyal yönetim; probiyotikler ve mikrobiyota temelli tedaviler</t>
  </si>
  <si>
    <t xml:space="preserve">Tedaviye dirençli fonksiyonel kabızlık ve enkoprezis</t>
  </si>
  <si>
    <t xml:space="preserve">Hirschsprung hastalığı ve anorektal malformasyonlar; anorektal manometri pratiği</t>
  </si>
  <si>
    <t xml:space="preserve">Pankreas I: akut pankreatit — NASPGHAN önerileri, sıvı ve beslenme yönetimi</t>
  </si>
  <si>
    <t xml:space="preserve">Mart 2027</t>
  </si>
  <si>
    <t xml:space="preserve">Modül 7 Kapanış / Modül 6 Kapanış / Modül 8: Hepatolojiye Giriş</t>
  </si>
  <si>
    <t xml:space="preserve">Pankreas II: akut rekürren ve kronik pankreatit, genetik değerlendirme</t>
  </si>
  <si>
    <t xml:space="preserve">Pankreas III: ekzokrin yetmezlik ve kistik fibrozis; otoimmün pankreatit ve pankreasın kistik lezyonları</t>
  </si>
  <si>
    <t xml:space="preserve">Ramazan Bayramı (beklenen) — telafi/serbest çalışma günü</t>
  </si>
  <si>
    <t xml:space="preserve">Üst GİS motilite bozuklukları: siklik kusma, ruminasyon, gastroparezi; kronik intestinal psödo-obstrüksiyon ve motilite testlerine genel bakış</t>
  </si>
  <si>
    <t xml:space="preserve">Karaciğer fonksiyon testleri ve hiperbilirubinemiye yaklaşım; noninvaziv fibroz değerlendirme (elastografi) + Modül 6-7 quiz</t>
  </si>
  <si>
    <t xml:space="preserve">Yenidoğan kolestazına sistematik yaklaşım (NASPGHAN kılavuzu)</t>
  </si>
  <si>
    <t xml:space="preserve">Biliyer atrezi ve Kasai; koledok kisti, safra yolu hastalıkları ve safra taşları</t>
  </si>
  <si>
    <t xml:space="preserve">Genetik kolestatik hastalıklar: PFIC, Alagille ve kistik fibrozis ilişkili karaciğer hastalığı; IBAT inhibitörleri ve yeni tedaviler</t>
  </si>
  <si>
    <t xml:space="preserve">Nisan 2027</t>
  </si>
  <si>
    <t xml:space="preserve">Modül 8: Hepatoloji</t>
  </si>
  <si>
    <t xml:space="preserve">Viral hepatitler I: Hepatit A, E ve C — karşılaştırmalı doğal seyir ve tedavi</t>
  </si>
  <si>
    <t xml:space="preserve">Viral hepatitler II: Hepatit B ve D — doğal seyir, tedavi endikasyonları, perinatal korunma</t>
  </si>
  <si>
    <t xml:space="preserve">Otoimmün hepatit, otoimmün sklerozan kolanjit ve ilaca bağlı karaciğer hasarı (DILI): ayırıcı tanı perspektifi</t>
  </si>
  <si>
    <t xml:space="preserve">Wilson hastalığı ve alfa-1 antitripsin eksikliği</t>
  </si>
  <si>
    <t xml:space="preserve">Metabolik karaciğer hastalıkları: galaktozemi, tirozinemi, fruktozemi, glikojen depo, mitokondriyal hepatopatiler</t>
  </si>
  <si>
    <t xml:space="preserve">Olgu saati IV: akut karaciğer yetmezliği (derinleştirme) ile kolestatik ve metabolik karaciğer olguları</t>
  </si>
  <si>
    <t xml:space="preserve">Portal hipertansiyon ve varis kanaması: profilaksi ve yönetim; vasküler karaciğer hastalıkları (Budd-Chiari, portal ven trombozu)</t>
  </si>
  <si>
    <t xml:space="preserve">Siroz komplikasyonları: asit, SBP, hepatorenal sendrom, hepatik ensefalopati</t>
  </si>
  <si>
    <t xml:space="preserve">Akademik gelişim II: bilimsel makale/bildiri yazımı, sunum-poster hazırlığı ve eğitici gelişimi</t>
  </si>
  <si>
    <t xml:space="preserve">Mayıs 2027</t>
  </si>
  <si>
    <t xml:space="preserve">Modül 8 Kapanış / Modül 9: Beslenme</t>
  </si>
  <si>
    <t xml:space="preserve">Karaciğer transplantasyonu: endikasyon, zamanlama, immünosüpresyon ve uzun dönem izlem</t>
  </si>
  <si>
    <t xml:space="preserve">GİS histopatolojisi II: karaciğer biyopsisi endikasyonları ve yorumlama (patoloji ile ortak oturum) + Modül 8 quiz</t>
  </si>
  <si>
    <t xml:space="preserve">Sağlıklı beslenme ilkeleri (kompakt tekrar); enteral beslenme uygulamaları; nörolojik engelli çocukta beslenme ve GİS sorunları</t>
  </si>
  <si>
    <t xml:space="preserve">Parenteral beslenme ve IFALD (ESPGHAN/ESPEN kılavuzları)</t>
  </si>
  <si>
    <t xml:space="preserve">Kurban Bayramı (beklenen) — telafi/serbest çalışma günü</t>
  </si>
  <si>
    <t xml:space="preserve">Kısa bağırsak sendromu ve intestinal yetmezlik: rehabilitasyon ve intestinal transplantasyon</t>
  </si>
  <si>
    <t xml:space="preserve">Obezite, metabolik sendrom ve MASLD; adölesanda bariatrik yaklaşımlar + Modül 9 quiz</t>
  </si>
  <si>
    <t xml:space="preserve">Kronik GİS/karaciğer hastasında erişkine geçiş (transition), psikososyal bakım ve etik konular</t>
  </si>
  <si>
    <t xml:space="preserve">Haziran 2027</t>
  </si>
  <si>
    <t xml:space="preserve">Modül 10: Endoskopi, Özel Konular ve Kapanış</t>
  </si>
  <si>
    <t xml:space="preserve">Girişimsel endoskopi: PEG, dilatasyon, polipektomi, kanama kontrolü; simülatör/model üzerinde pratik (DOPS ile değerlendirme)</t>
  </si>
  <si>
    <t xml:space="preserve">İleri endoskopi: pediatride ERCP, EUS, kapsül endoskopi ve enteroskopi; GİS polipleri ve polipozis sendromlarında sürveyans</t>
  </si>
  <si>
    <t xml:space="preserve">Sistemik hastalıklarda GİS ve karaciğer tutulumu (vaskülitler, romatolojik hastalıklar); abdominal kitleye yaklaşım, GİS ve karaciğer tümörleri</t>
  </si>
  <si>
    <t xml:space="preserve">Dönem sonu değerlendirmesi: yazılı sınav ve OSCE tarzı olgu istasyonları</t>
  </si>
  <si>
    <t xml:space="preserve">Kapanış: fellow proje sonuç sunumları (mini-sempozyum), portfolyo değerlendirmesi, sınav geri bildirimi ve program geri bildirimi</t>
  </si>
  <si>
    <t xml:space="preserve">Modül ve Format Özeti</t>
  </si>
  <si>
    <t xml:space="preserve">Oturum Sayısı</t>
  </si>
  <si>
    <t xml:space="preserve">Oturum</t>
  </si>
  <si>
    <t xml:space="preserve">Oran</t>
  </si>
  <si>
    <t xml:space="preserve">D — Didaktik ders</t>
  </si>
  <si>
    <t xml:space="preserve">OT — Olgu temelli</t>
  </si>
  <si>
    <t xml:space="preserve">P — Pratik/ortak oturum</t>
  </si>
  <si>
    <t xml:space="preserve">KO — Kılavuz okuma</t>
  </si>
  <si>
    <t xml:space="preserve">JC — Journal Club</t>
  </si>
  <si>
    <t xml:space="preserve">Değ — Değerlendirme</t>
  </si>
  <si>
    <t xml:space="preserve">TOPLAM</t>
  </si>
  <si>
    <t xml:space="preserve">Ç — Fellow çekirdek</t>
  </si>
  <si>
    <t xml:space="preserve">İ — İleri düzey</t>
  </si>
  <si>
    <t xml:space="preserve">Açıklamalar ve Değerlendirme Sistemi</t>
  </si>
  <si>
    <t xml:space="preserve">Doldurulacak alanlar</t>
  </si>
  <si>
    <t xml:space="preserve">‘Ders Programı’ sayfasında SARI hücreler doldurulur: Öğretim Üyesi ve Yer/Not sütunları. İlk satırda örnek biçim verilmiştir; gerçek adla değiştirin. Diğer hücreler formül/veri içerir, değiştirmeyin.</t>
  </si>
  <si>
    <t xml:space="preserve">Formatlar</t>
  </si>
  <si>
    <t xml:space="preserve">D: Didaktik ders · OT: Olgu temelli tartışma · JC: Journal Club · KO: Kılavuz okuma (ESPGHAN/NASPGHAN/ESPEN/AASLD) · P: Pratik/beceri/ortak disiplin · Değ: Değerlendirme</t>
  </si>
  <si>
    <t xml:space="preserve">Düzeyler</t>
  </si>
  <si>
    <t xml:space="preserve">Ç: Fellow çekirdek müfredatı · İ: İleri düzey (kıdemli fellow / öğretim üyesi semineri)</t>
  </si>
  <si>
    <t xml:space="preserve">Süreler</t>
  </si>
  <si>
    <t xml:space="preserve">Oturumlar 45–60 dk; olgu saatleri ve pratik oturumlar 60 dk.</t>
  </si>
  <si>
    <t xml:space="preserve">Formatif değerlendirme</t>
  </si>
  <si>
    <t xml:space="preserve">Modül sonu oturumların ilk 10 dakikası kümülatif quiz'dir (programda '+ Modül quiz' olarak işaretli). Endoskopi/manometri pratikleri DOPS / GiECAT-KIDS, klinik değerlendirmeler mini-CEX ile belgelenir.</t>
  </si>
  <si>
    <t xml:space="preserve">Ara ve dönem sonu</t>
  </si>
  <si>
    <t xml:space="preserve">28 Ocak: yarıyıl kümülatif sınavı + portfolyo ve proje ara görüşmesi. 10 Haziran: yazılı sınav + OSCE. 15 Haziran: proje sonuç sunumları ve kapanış.</t>
  </si>
  <si>
    <t xml:space="preserve">Araştırma izlemi</t>
  </si>
  <si>
    <t xml:space="preserve">Proje önerisi (3 Kasım) → ara değerlendirme (28 Ocak) → sonuç sunumu (15 Haziran).</t>
  </si>
  <si>
    <t xml:space="preserve">Tatiller</t>
  </si>
  <si>
    <t xml:space="preserve">29 Ekim 2026 Cumhuriyet Bayramı: ders yok. 9–11 Mart ve 18 Mayıs 2027 beklenen dini bayram tarihleridir; Diyanet takvimi kesinleşince güncellenmelidir. Telafi: içerik izleyen haftaya 15 dk özet olarak eklenir veya asenkron kayıt + quiz ile kapatılır.</t>
  </si>
  <si>
    <t xml:space="preserve">Ortak oturumlar</t>
  </si>
  <si>
    <t xml:space="preserve">Radyoloji (#13, #38), patoloji (#25, #38, #65) ve çocuk cerrahisi (#38) oturumları en az 4 hafta önceden planlanmalıdır.</t>
  </si>
  <si>
    <t xml:space="preserve">Kaynak</t>
  </si>
  <si>
    <t xml:space="preserve">Bu tablo cocuk-gastroenteroloji-ders-programi-2026-2027.md (v3.1) dosyasından üretilmiştir; program çift hakem değerlendirmesi ve bağımsız takvim denetiminden geçmiştir.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</si>
</sst>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806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DDEBF7"/>
      </patternFill>
    </fill>
    <fill>
      <patternFill patternType="solid">
        <fgColor rgb="FFDDEBF7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0B0B0"/>
      <rgbColor rgb="FF808080"/>
      <rgbColor rgb="FF9999FF"/>
      <rgbColor rgb="FF993366"/>
      <rgbColor rgb="FFE7E6E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62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24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23.85" hidden="false" customHeight="false" outlineLevel="0" collapsed="false">
      <c r="A6" s="5" t="n">
        <v>1</v>
      </c>
      <c r="B6" s="6" t="n">
        <v>46280</v>
      </c>
      <c r="C6" s="5" t="s">
        <v>13</v>
      </c>
      <c r="D6" s="5" t="s">
        <v>14</v>
      </c>
      <c r="E6" s="7" t="s">
        <v>15</v>
      </c>
      <c r="F6" s="7" t="s">
        <v>16</v>
      </c>
      <c r="G6" s="5" t="s">
        <v>17</v>
      </c>
      <c r="H6" s="5" t="s">
        <v>18</v>
      </c>
      <c r="I6" s="8" t="s">
        <v>19</v>
      </c>
      <c r="J6" s="9"/>
    </row>
    <row r="7" customFormat="false" ht="15" hidden="false" customHeight="false" outlineLevel="0" collapsed="false">
      <c r="A7" s="5" t="n">
        <v>2</v>
      </c>
      <c r="B7" s="6" t="n">
        <v>46282</v>
      </c>
      <c r="C7" s="5" t="s">
        <v>20</v>
      </c>
      <c r="D7" s="5" t="s">
        <v>14</v>
      </c>
      <c r="E7" s="7" t="s">
        <v>15</v>
      </c>
      <c r="F7" s="7" t="s">
        <v>21</v>
      </c>
      <c r="G7" s="5" t="s">
        <v>17</v>
      </c>
      <c r="H7" s="5" t="s">
        <v>18</v>
      </c>
      <c r="I7" s="8"/>
      <c r="J7" s="9"/>
    </row>
    <row r="8" customFormat="false" ht="23.85" hidden="false" customHeight="false" outlineLevel="0" collapsed="false">
      <c r="A8" s="5" t="n">
        <v>3</v>
      </c>
      <c r="B8" s="6" t="n">
        <v>46287</v>
      </c>
      <c r="C8" s="5" t="s">
        <v>13</v>
      </c>
      <c r="D8" s="5" t="s">
        <v>14</v>
      </c>
      <c r="E8" s="7" t="s">
        <v>15</v>
      </c>
      <c r="F8" s="7" t="s">
        <v>22</v>
      </c>
      <c r="G8" s="5" t="s">
        <v>17</v>
      </c>
      <c r="H8" s="5" t="s">
        <v>18</v>
      </c>
      <c r="I8" s="8"/>
      <c r="J8" s="9"/>
    </row>
    <row r="9" customFormat="false" ht="15" hidden="false" customHeight="false" outlineLevel="0" collapsed="false">
      <c r="A9" s="5" t="n">
        <v>4</v>
      </c>
      <c r="B9" s="6" t="n">
        <v>46289</v>
      </c>
      <c r="C9" s="5" t="s">
        <v>20</v>
      </c>
      <c r="D9" s="5" t="s">
        <v>14</v>
      </c>
      <c r="E9" s="7" t="s">
        <v>15</v>
      </c>
      <c r="F9" s="7" t="s">
        <v>23</v>
      </c>
      <c r="G9" s="5" t="s">
        <v>17</v>
      </c>
      <c r="H9" s="5" t="s">
        <v>18</v>
      </c>
      <c r="I9" s="8"/>
      <c r="J9" s="9"/>
    </row>
    <row r="10" customFormat="false" ht="15" hidden="false" customHeight="false" outlineLevel="0" collapsed="false">
      <c r="A10" s="5" t="n">
        <v>5</v>
      </c>
      <c r="B10" s="6" t="n">
        <v>46294</v>
      </c>
      <c r="C10" s="5" t="s">
        <v>13</v>
      </c>
      <c r="D10" s="5" t="s">
        <v>14</v>
      </c>
      <c r="E10" s="7" t="s">
        <v>15</v>
      </c>
      <c r="F10" s="7" t="s">
        <v>24</v>
      </c>
      <c r="G10" s="5" t="s">
        <v>25</v>
      </c>
      <c r="H10" s="5" t="s">
        <v>18</v>
      </c>
      <c r="I10" s="8"/>
      <c r="J10" s="9"/>
    </row>
    <row r="11" customFormat="false" ht="23.85" hidden="false" customHeight="false" outlineLevel="0" collapsed="false">
      <c r="A11" s="5" t="n">
        <v>6</v>
      </c>
      <c r="B11" s="6" t="n">
        <v>46296</v>
      </c>
      <c r="C11" s="5" t="s">
        <v>20</v>
      </c>
      <c r="D11" s="5" t="s">
        <v>26</v>
      </c>
      <c r="E11" s="7" t="s">
        <v>27</v>
      </c>
      <c r="F11" s="7" t="s">
        <v>28</v>
      </c>
      <c r="G11" s="5" t="s">
        <v>25</v>
      </c>
      <c r="H11" s="5" t="s">
        <v>18</v>
      </c>
      <c r="I11" s="8"/>
      <c r="J11" s="9"/>
    </row>
    <row r="12" customFormat="false" ht="23.85" hidden="false" customHeight="false" outlineLevel="0" collapsed="false">
      <c r="A12" s="5" t="n">
        <v>7</v>
      </c>
      <c r="B12" s="6" t="n">
        <v>46301</v>
      </c>
      <c r="C12" s="5" t="s">
        <v>13</v>
      </c>
      <c r="D12" s="5" t="s">
        <v>26</v>
      </c>
      <c r="E12" s="7" t="s">
        <v>27</v>
      </c>
      <c r="F12" s="7" t="s">
        <v>29</v>
      </c>
      <c r="G12" s="5" t="s">
        <v>25</v>
      </c>
      <c r="H12" s="5" t="s">
        <v>18</v>
      </c>
      <c r="I12" s="8"/>
      <c r="J12" s="9"/>
    </row>
    <row r="13" customFormat="false" ht="23.85" hidden="false" customHeight="false" outlineLevel="0" collapsed="false">
      <c r="A13" s="5" t="n">
        <v>8</v>
      </c>
      <c r="B13" s="6" t="n">
        <v>46303</v>
      </c>
      <c r="C13" s="5" t="s">
        <v>20</v>
      </c>
      <c r="D13" s="5" t="s">
        <v>26</v>
      </c>
      <c r="E13" s="7" t="s">
        <v>27</v>
      </c>
      <c r="F13" s="7" t="s">
        <v>30</v>
      </c>
      <c r="G13" s="5" t="s">
        <v>25</v>
      </c>
      <c r="H13" s="5" t="s">
        <v>18</v>
      </c>
      <c r="I13" s="8"/>
      <c r="J13" s="9"/>
    </row>
    <row r="14" customFormat="false" ht="23.85" hidden="false" customHeight="false" outlineLevel="0" collapsed="false">
      <c r="A14" s="5" t="n">
        <v>9</v>
      </c>
      <c r="B14" s="6" t="n">
        <v>46308</v>
      </c>
      <c r="C14" s="5" t="s">
        <v>13</v>
      </c>
      <c r="D14" s="5" t="s">
        <v>26</v>
      </c>
      <c r="E14" s="7" t="s">
        <v>27</v>
      </c>
      <c r="F14" s="7" t="s">
        <v>31</v>
      </c>
      <c r="G14" s="5" t="s">
        <v>25</v>
      </c>
      <c r="H14" s="5" t="s">
        <v>18</v>
      </c>
      <c r="I14" s="8"/>
      <c r="J14" s="9"/>
    </row>
    <row r="15" customFormat="false" ht="23.85" hidden="false" customHeight="false" outlineLevel="0" collapsed="false">
      <c r="A15" s="5" t="n">
        <v>10</v>
      </c>
      <c r="B15" s="6" t="n">
        <v>46310</v>
      </c>
      <c r="C15" s="5" t="s">
        <v>20</v>
      </c>
      <c r="D15" s="5" t="s">
        <v>26</v>
      </c>
      <c r="E15" s="7" t="s">
        <v>27</v>
      </c>
      <c r="F15" s="7" t="s">
        <v>32</v>
      </c>
      <c r="G15" s="5" t="s">
        <v>25</v>
      </c>
      <c r="H15" s="5" t="s">
        <v>18</v>
      </c>
      <c r="I15" s="8"/>
      <c r="J15" s="9"/>
    </row>
    <row r="16" customFormat="false" ht="23.85" hidden="false" customHeight="false" outlineLevel="0" collapsed="false">
      <c r="A16" s="5" t="n">
        <v>11</v>
      </c>
      <c r="B16" s="6" t="n">
        <v>46315</v>
      </c>
      <c r="C16" s="5" t="s">
        <v>13</v>
      </c>
      <c r="D16" s="5" t="s">
        <v>26</v>
      </c>
      <c r="E16" s="7" t="s">
        <v>27</v>
      </c>
      <c r="F16" s="7" t="s">
        <v>33</v>
      </c>
      <c r="G16" s="5" t="s">
        <v>25</v>
      </c>
      <c r="H16" s="5" t="s">
        <v>18</v>
      </c>
      <c r="I16" s="8"/>
      <c r="J16" s="9"/>
    </row>
    <row r="17" customFormat="false" ht="23.85" hidden="false" customHeight="false" outlineLevel="0" collapsed="false">
      <c r="A17" s="5" t="n">
        <v>12</v>
      </c>
      <c r="B17" s="6" t="n">
        <v>46317</v>
      </c>
      <c r="C17" s="5" t="s">
        <v>20</v>
      </c>
      <c r="D17" s="5" t="s">
        <v>26</v>
      </c>
      <c r="E17" s="7" t="s">
        <v>27</v>
      </c>
      <c r="F17" s="7" t="s">
        <v>34</v>
      </c>
      <c r="G17" s="5" t="s">
        <v>17</v>
      </c>
      <c r="H17" s="5" t="s">
        <v>18</v>
      </c>
      <c r="I17" s="8"/>
      <c r="J17" s="9"/>
    </row>
    <row r="18" customFormat="false" ht="23.85" hidden="false" customHeight="false" outlineLevel="0" collapsed="false">
      <c r="A18" s="5" t="n">
        <v>13</v>
      </c>
      <c r="B18" s="6" t="n">
        <v>46322</v>
      </c>
      <c r="C18" s="5" t="s">
        <v>13</v>
      </c>
      <c r="D18" s="5" t="s">
        <v>26</v>
      </c>
      <c r="E18" s="7" t="s">
        <v>27</v>
      </c>
      <c r="F18" s="7" t="s">
        <v>35</v>
      </c>
      <c r="G18" s="5" t="s">
        <v>36</v>
      </c>
      <c r="H18" s="5" t="s">
        <v>18</v>
      </c>
      <c r="I18" s="8"/>
      <c r="J18" s="9"/>
    </row>
    <row r="19" customFormat="false" ht="23.85" hidden="false" customHeight="false" outlineLevel="0" collapsed="false">
      <c r="A19" s="10"/>
      <c r="B19" s="11" t="n">
        <v>46324</v>
      </c>
      <c r="C19" s="10" t="s">
        <v>20</v>
      </c>
      <c r="D19" s="10" t="s">
        <v>26</v>
      </c>
      <c r="E19" s="12" t="s">
        <v>27</v>
      </c>
      <c r="F19" s="12" t="s">
        <v>37</v>
      </c>
      <c r="G19" s="10"/>
      <c r="H19" s="10"/>
      <c r="I19" s="10"/>
      <c r="J19" s="12"/>
    </row>
    <row r="20" customFormat="false" ht="15" hidden="false" customHeight="false" outlineLevel="0" collapsed="false">
      <c r="A20" s="5" t="n">
        <v>14</v>
      </c>
      <c r="B20" s="6" t="n">
        <v>46329</v>
      </c>
      <c r="C20" s="5" t="s">
        <v>13</v>
      </c>
      <c r="D20" s="5" t="s">
        <v>38</v>
      </c>
      <c r="E20" s="7" t="s">
        <v>39</v>
      </c>
      <c r="F20" s="7" t="s">
        <v>40</v>
      </c>
      <c r="G20" s="5" t="s">
        <v>36</v>
      </c>
      <c r="H20" s="5" t="s">
        <v>18</v>
      </c>
      <c r="I20" s="8"/>
      <c r="J20" s="9"/>
    </row>
    <row r="21" customFormat="false" ht="23.85" hidden="false" customHeight="false" outlineLevel="0" collapsed="false">
      <c r="A21" s="5" t="n">
        <v>15</v>
      </c>
      <c r="B21" s="6" t="n">
        <v>46331</v>
      </c>
      <c r="C21" s="5" t="s">
        <v>20</v>
      </c>
      <c r="D21" s="5" t="s">
        <v>38</v>
      </c>
      <c r="E21" s="7" t="s">
        <v>39</v>
      </c>
      <c r="F21" s="7" t="s">
        <v>41</v>
      </c>
      <c r="G21" s="5" t="s">
        <v>42</v>
      </c>
      <c r="H21" s="5" t="s">
        <v>18</v>
      </c>
      <c r="I21" s="8"/>
      <c r="J21" s="9"/>
    </row>
    <row r="22" customFormat="false" ht="15" hidden="false" customHeight="false" outlineLevel="0" collapsed="false">
      <c r="A22" s="5" t="n">
        <v>16</v>
      </c>
      <c r="B22" s="6" t="n">
        <v>46336</v>
      </c>
      <c r="C22" s="5" t="s">
        <v>13</v>
      </c>
      <c r="D22" s="5" t="s">
        <v>38</v>
      </c>
      <c r="E22" s="7" t="s">
        <v>39</v>
      </c>
      <c r="F22" s="7" t="s">
        <v>43</v>
      </c>
      <c r="G22" s="5" t="s">
        <v>17</v>
      </c>
      <c r="H22" s="5" t="s">
        <v>18</v>
      </c>
      <c r="I22" s="8"/>
      <c r="J22" s="9"/>
    </row>
    <row r="23" customFormat="false" ht="15" hidden="false" customHeight="false" outlineLevel="0" collapsed="false">
      <c r="A23" s="5" t="n">
        <v>17</v>
      </c>
      <c r="B23" s="6" t="n">
        <v>46338</v>
      </c>
      <c r="C23" s="5" t="s">
        <v>20</v>
      </c>
      <c r="D23" s="5" t="s">
        <v>38</v>
      </c>
      <c r="E23" s="7" t="s">
        <v>39</v>
      </c>
      <c r="F23" s="7" t="s">
        <v>44</v>
      </c>
      <c r="G23" s="5" t="s">
        <v>25</v>
      </c>
      <c r="H23" s="5" t="s">
        <v>18</v>
      </c>
      <c r="I23" s="8"/>
      <c r="J23" s="9"/>
    </row>
    <row r="24" customFormat="false" ht="15" hidden="false" customHeight="false" outlineLevel="0" collapsed="false">
      <c r="A24" s="5" t="n">
        <v>18</v>
      </c>
      <c r="B24" s="6" t="n">
        <v>46343</v>
      </c>
      <c r="C24" s="5" t="s">
        <v>13</v>
      </c>
      <c r="D24" s="5" t="s">
        <v>38</v>
      </c>
      <c r="E24" s="7" t="s">
        <v>39</v>
      </c>
      <c r="F24" s="7" t="s">
        <v>45</v>
      </c>
      <c r="G24" s="5" t="s">
        <v>17</v>
      </c>
      <c r="H24" s="5" t="s">
        <v>18</v>
      </c>
      <c r="I24" s="8"/>
      <c r="J24" s="9"/>
    </row>
    <row r="25" customFormat="false" ht="15" hidden="false" customHeight="false" outlineLevel="0" collapsed="false">
      <c r="A25" s="5" t="n">
        <v>19</v>
      </c>
      <c r="B25" s="6" t="n">
        <v>46345</v>
      </c>
      <c r="C25" s="5" t="s">
        <v>20</v>
      </c>
      <c r="D25" s="5" t="s">
        <v>38</v>
      </c>
      <c r="E25" s="7" t="s">
        <v>39</v>
      </c>
      <c r="F25" s="7" t="s">
        <v>46</v>
      </c>
      <c r="G25" s="5" t="s">
        <v>36</v>
      </c>
      <c r="H25" s="5" t="s">
        <v>47</v>
      </c>
      <c r="I25" s="8"/>
      <c r="J25" s="9"/>
    </row>
    <row r="26" customFormat="false" ht="15" hidden="false" customHeight="false" outlineLevel="0" collapsed="false">
      <c r="A26" s="5" t="n">
        <v>20</v>
      </c>
      <c r="B26" s="6" t="n">
        <v>46350</v>
      </c>
      <c r="C26" s="5" t="s">
        <v>13</v>
      </c>
      <c r="D26" s="5" t="s">
        <v>38</v>
      </c>
      <c r="E26" s="7" t="s">
        <v>39</v>
      </c>
      <c r="F26" s="7" t="s">
        <v>48</v>
      </c>
      <c r="G26" s="5" t="s">
        <v>42</v>
      </c>
      <c r="H26" s="5" t="s">
        <v>18</v>
      </c>
      <c r="I26" s="8"/>
      <c r="J26" s="9"/>
    </row>
    <row r="27" customFormat="false" ht="15" hidden="false" customHeight="false" outlineLevel="0" collapsed="false">
      <c r="A27" s="5" t="n">
        <v>21</v>
      </c>
      <c r="B27" s="6" t="n">
        <v>46352</v>
      </c>
      <c r="C27" s="5" t="s">
        <v>20</v>
      </c>
      <c r="D27" s="5" t="s">
        <v>38</v>
      </c>
      <c r="E27" s="7" t="s">
        <v>39</v>
      </c>
      <c r="F27" s="7" t="s">
        <v>49</v>
      </c>
      <c r="G27" s="5" t="s">
        <v>25</v>
      </c>
      <c r="H27" s="5" t="s">
        <v>18</v>
      </c>
      <c r="I27" s="8"/>
      <c r="J27" s="9"/>
    </row>
    <row r="28" customFormat="false" ht="23.85" hidden="false" customHeight="false" outlineLevel="0" collapsed="false">
      <c r="A28" s="5" t="n">
        <v>22</v>
      </c>
      <c r="B28" s="6" t="n">
        <v>46357</v>
      </c>
      <c r="C28" s="5" t="s">
        <v>13</v>
      </c>
      <c r="D28" s="5" t="s">
        <v>50</v>
      </c>
      <c r="E28" s="7" t="s">
        <v>51</v>
      </c>
      <c r="F28" s="7" t="s">
        <v>52</v>
      </c>
      <c r="G28" s="5" t="s">
        <v>17</v>
      </c>
      <c r="H28" s="5" t="s">
        <v>18</v>
      </c>
      <c r="I28" s="8"/>
      <c r="J28" s="9"/>
    </row>
    <row r="29" customFormat="false" ht="23.85" hidden="false" customHeight="false" outlineLevel="0" collapsed="false">
      <c r="A29" s="5" t="n">
        <v>23</v>
      </c>
      <c r="B29" s="6" t="n">
        <v>46359</v>
      </c>
      <c r="C29" s="5" t="s">
        <v>20</v>
      </c>
      <c r="D29" s="5" t="s">
        <v>50</v>
      </c>
      <c r="E29" s="7" t="s">
        <v>51</v>
      </c>
      <c r="F29" s="7" t="s">
        <v>53</v>
      </c>
      <c r="G29" s="5" t="s">
        <v>17</v>
      </c>
      <c r="H29" s="5" t="s">
        <v>18</v>
      </c>
      <c r="I29" s="8"/>
      <c r="J29" s="9"/>
    </row>
    <row r="30" customFormat="false" ht="23.85" hidden="false" customHeight="false" outlineLevel="0" collapsed="false">
      <c r="A30" s="5" t="n">
        <v>24</v>
      </c>
      <c r="B30" s="6" t="n">
        <v>46364</v>
      </c>
      <c r="C30" s="5" t="s">
        <v>13</v>
      </c>
      <c r="D30" s="5" t="s">
        <v>50</v>
      </c>
      <c r="E30" s="7" t="s">
        <v>51</v>
      </c>
      <c r="F30" s="7" t="s">
        <v>54</v>
      </c>
      <c r="G30" s="5" t="s">
        <v>42</v>
      </c>
      <c r="H30" s="5" t="s">
        <v>18</v>
      </c>
      <c r="I30" s="8"/>
      <c r="J30" s="9"/>
    </row>
    <row r="31" customFormat="false" ht="23.85" hidden="false" customHeight="false" outlineLevel="0" collapsed="false">
      <c r="A31" s="5" t="n">
        <v>25</v>
      </c>
      <c r="B31" s="6" t="n">
        <v>46366</v>
      </c>
      <c r="C31" s="5" t="s">
        <v>20</v>
      </c>
      <c r="D31" s="5" t="s">
        <v>50</v>
      </c>
      <c r="E31" s="7" t="s">
        <v>51</v>
      </c>
      <c r="F31" s="7" t="s">
        <v>55</v>
      </c>
      <c r="G31" s="5" t="s">
        <v>36</v>
      </c>
      <c r="H31" s="5" t="s">
        <v>47</v>
      </c>
      <c r="I31" s="8"/>
      <c r="J31" s="9"/>
    </row>
    <row r="32" customFormat="false" ht="23.85" hidden="false" customHeight="false" outlineLevel="0" collapsed="false">
      <c r="A32" s="5" t="n">
        <v>26</v>
      </c>
      <c r="B32" s="6" t="n">
        <v>46371</v>
      </c>
      <c r="C32" s="5" t="s">
        <v>13</v>
      </c>
      <c r="D32" s="5" t="s">
        <v>50</v>
      </c>
      <c r="E32" s="7" t="s">
        <v>51</v>
      </c>
      <c r="F32" s="7" t="s">
        <v>56</v>
      </c>
      <c r="G32" s="5" t="s">
        <v>17</v>
      </c>
      <c r="H32" s="5" t="s">
        <v>18</v>
      </c>
      <c r="I32" s="8"/>
      <c r="J32" s="9"/>
    </row>
    <row r="33" customFormat="false" ht="23.85" hidden="false" customHeight="false" outlineLevel="0" collapsed="false">
      <c r="A33" s="5" t="n">
        <v>27</v>
      </c>
      <c r="B33" s="6" t="n">
        <v>46373</v>
      </c>
      <c r="C33" s="5" t="s">
        <v>20</v>
      </c>
      <c r="D33" s="5" t="s">
        <v>50</v>
      </c>
      <c r="E33" s="7" t="s">
        <v>51</v>
      </c>
      <c r="F33" s="7" t="s">
        <v>57</v>
      </c>
      <c r="G33" s="5" t="s">
        <v>17</v>
      </c>
      <c r="H33" s="5" t="s">
        <v>18</v>
      </c>
      <c r="I33" s="8"/>
      <c r="J33" s="9"/>
    </row>
    <row r="34" customFormat="false" ht="23.85" hidden="false" customHeight="false" outlineLevel="0" collapsed="false">
      <c r="A34" s="5" t="n">
        <v>28</v>
      </c>
      <c r="B34" s="6" t="n">
        <v>46378</v>
      </c>
      <c r="C34" s="5" t="s">
        <v>13</v>
      </c>
      <c r="D34" s="5" t="s">
        <v>50</v>
      </c>
      <c r="E34" s="7" t="s">
        <v>51</v>
      </c>
      <c r="F34" s="7" t="s">
        <v>58</v>
      </c>
      <c r="G34" s="5" t="s">
        <v>17</v>
      </c>
      <c r="H34" s="5" t="s">
        <v>47</v>
      </c>
      <c r="I34" s="8"/>
      <c r="J34" s="9"/>
    </row>
    <row r="35" customFormat="false" ht="23.85" hidden="false" customHeight="false" outlineLevel="0" collapsed="false">
      <c r="A35" s="5" t="n">
        <v>29</v>
      </c>
      <c r="B35" s="6" t="n">
        <v>46380</v>
      </c>
      <c r="C35" s="5" t="s">
        <v>20</v>
      </c>
      <c r="D35" s="5" t="s">
        <v>50</v>
      </c>
      <c r="E35" s="7" t="s">
        <v>51</v>
      </c>
      <c r="F35" s="7" t="s">
        <v>59</v>
      </c>
      <c r="G35" s="5" t="s">
        <v>17</v>
      </c>
      <c r="H35" s="5" t="s">
        <v>47</v>
      </c>
      <c r="I35" s="8"/>
      <c r="J35" s="9"/>
    </row>
    <row r="36" customFormat="false" ht="23.85" hidden="false" customHeight="false" outlineLevel="0" collapsed="false">
      <c r="A36" s="5" t="n">
        <v>30</v>
      </c>
      <c r="B36" s="6" t="n">
        <v>46385</v>
      </c>
      <c r="C36" s="5" t="s">
        <v>13</v>
      </c>
      <c r="D36" s="5" t="s">
        <v>50</v>
      </c>
      <c r="E36" s="7" t="s">
        <v>51</v>
      </c>
      <c r="F36" s="7" t="s">
        <v>60</v>
      </c>
      <c r="G36" s="5" t="s">
        <v>25</v>
      </c>
      <c r="H36" s="5" t="s">
        <v>18</v>
      </c>
      <c r="I36" s="8"/>
      <c r="J36" s="9"/>
    </row>
    <row r="37" customFormat="false" ht="23.85" hidden="false" customHeight="false" outlineLevel="0" collapsed="false">
      <c r="A37" s="5" t="n">
        <v>31</v>
      </c>
      <c r="B37" s="6" t="n">
        <v>46387</v>
      </c>
      <c r="C37" s="5" t="s">
        <v>20</v>
      </c>
      <c r="D37" s="5" t="s">
        <v>50</v>
      </c>
      <c r="E37" s="7" t="s">
        <v>51</v>
      </c>
      <c r="F37" s="7" t="s">
        <v>61</v>
      </c>
      <c r="G37" s="5" t="s">
        <v>62</v>
      </c>
      <c r="H37" s="5" t="s">
        <v>18</v>
      </c>
      <c r="I37" s="8"/>
      <c r="J37" s="9"/>
    </row>
    <row r="38" customFormat="false" ht="15" hidden="false" customHeight="false" outlineLevel="0" collapsed="false">
      <c r="A38" s="5" t="n">
        <v>32</v>
      </c>
      <c r="B38" s="6" t="n">
        <v>46392</v>
      </c>
      <c r="C38" s="5" t="s">
        <v>13</v>
      </c>
      <c r="D38" s="5" t="s">
        <v>63</v>
      </c>
      <c r="E38" s="7" t="s">
        <v>64</v>
      </c>
      <c r="F38" s="7" t="s">
        <v>65</v>
      </c>
      <c r="G38" s="5" t="s">
        <v>17</v>
      </c>
      <c r="H38" s="5" t="s">
        <v>18</v>
      </c>
      <c r="I38" s="8"/>
      <c r="J38" s="9"/>
    </row>
    <row r="39" customFormat="false" ht="15" hidden="false" customHeight="false" outlineLevel="0" collapsed="false">
      <c r="A39" s="5" t="n">
        <v>33</v>
      </c>
      <c r="B39" s="6" t="n">
        <v>46394</v>
      </c>
      <c r="C39" s="5" t="s">
        <v>20</v>
      </c>
      <c r="D39" s="5" t="s">
        <v>63</v>
      </c>
      <c r="E39" s="7" t="s">
        <v>64</v>
      </c>
      <c r="F39" s="7" t="s">
        <v>66</v>
      </c>
      <c r="G39" s="5" t="s">
        <v>42</v>
      </c>
      <c r="H39" s="5" t="s">
        <v>18</v>
      </c>
      <c r="I39" s="8"/>
      <c r="J39" s="9"/>
    </row>
    <row r="40" customFormat="false" ht="15" hidden="false" customHeight="false" outlineLevel="0" collapsed="false">
      <c r="A40" s="5" t="n">
        <v>34</v>
      </c>
      <c r="B40" s="6" t="n">
        <v>46399</v>
      </c>
      <c r="C40" s="5" t="s">
        <v>13</v>
      </c>
      <c r="D40" s="5" t="s">
        <v>63</v>
      </c>
      <c r="E40" s="7" t="s">
        <v>64</v>
      </c>
      <c r="F40" s="7" t="s">
        <v>67</v>
      </c>
      <c r="G40" s="5" t="s">
        <v>17</v>
      </c>
      <c r="H40" s="5" t="s">
        <v>18</v>
      </c>
      <c r="I40" s="8"/>
      <c r="J40" s="9"/>
    </row>
    <row r="41" customFormat="false" ht="15" hidden="false" customHeight="false" outlineLevel="0" collapsed="false">
      <c r="A41" s="5" t="n">
        <v>35</v>
      </c>
      <c r="B41" s="6" t="n">
        <v>46401</v>
      </c>
      <c r="C41" s="5" t="s">
        <v>20</v>
      </c>
      <c r="D41" s="5" t="s">
        <v>63</v>
      </c>
      <c r="E41" s="7" t="s">
        <v>64</v>
      </c>
      <c r="F41" s="7" t="s">
        <v>68</v>
      </c>
      <c r="G41" s="5" t="s">
        <v>17</v>
      </c>
      <c r="H41" s="5" t="s">
        <v>47</v>
      </c>
      <c r="I41" s="8"/>
      <c r="J41" s="9"/>
    </row>
    <row r="42" customFormat="false" ht="15" hidden="false" customHeight="false" outlineLevel="0" collapsed="false">
      <c r="A42" s="5" t="n">
        <v>36</v>
      </c>
      <c r="B42" s="6" t="n">
        <v>46406</v>
      </c>
      <c r="C42" s="5" t="s">
        <v>13</v>
      </c>
      <c r="D42" s="5" t="s">
        <v>63</v>
      </c>
      <c r="E42" s="7" t="s">
        <v>64</v>
      </c>
      <c r="F42" s="7" t="s">
        <v>69</v>
      </c>
      <c r="G42" s="5" t="s">
        <v>17</v>
      </c>
      <c r="H42" s="5" t="s">
        <v>18</v>
      </c>
      <c r="I42" s="8"/>
      <c r="J42" s="9"/>
    </row>
    <row r="43" customFormat="false" ht="15" hidden="false" customHeight="false" outlineLevel="0" collapsed="false">
      <c r="A43" s="5" t="n">
        <v>37</v>
      </c>
      <c r="B43" s="6" t="n">
        <v>46408</v>
      </c>
      <c r="C43" s="5" t="s">
        <v>20</v>
      </c>
      <c r="D43" s="5" t="s">
        <v>63</v>
      </c>
      <c r="E43" s="7" t="s">
        <v>64</v>
      </c>
      <c r="F43" s="7" t="s">
        <v>70</v>
      </c>
      <c r="G43" s="5" t="s">
        <v>17</v>
      </c>
      <c r="H43" s="5" t="s">
        <v>47</v>
      </c>
      <c r="I43" s="8"/>
      <c r="J43" s="9"/>
    </row>
    <row r="44" customFormat="false" ht="23.85" hidden="false" customHeight="false" outlineLevel="0" collapsed="false">
      <c r="A44" s="5" t="n">
        <v>38</v>
      </c>
      <c r="B44" s="6" t="n">
        <v>46413</v>
      </c>
      <c r="C44" s="5" t="s">
        <v>13</v>
      </c>
      <c r="D44" s="5" t="s">
        <v>63</v>
      </c>
      <c r="E44" s="7" t="s">
        <v>64</v>
      </c>
      <c r="F44" s="7" t="s">
        <v>71</v>
      </c>
      <c r="G44" s="5" t="s">
        <v>36</v>
      </c>
      <c r="H44" s="5" t="s">
        <v>47</v>
      </c>
      <c r="I44" s="8"/>
      <c r="J44" s="9"/>
    </row>
    <row r="45" customFormat="false" ht="23.85" hidden="false" customHeight="false" outlineLevel="0" collapsed="false">
      <c r="A45" s="5" t="n">
        <v>39</v>
      </c>
      <c r="B45" s="6" t="n">
        <v>46415</v>
      </c>
      <c r="C45" s="5" t="s">
        <v>20</v>
      </c>
      <c r="D45" s="5" t="s">
        <v>63</v>
      </c>
      <c r="E45" s="7" t="s">
        <v>64</v>
      </c>
      <c r="F45" s="7" t="s">
        <v>72</v>
      </c>
      <c r="G45" s="5" t="s">
        <v>73</v>
      </c>
      <c r="H45" s="5" t="s">
        <v>18</v>
      </c>
      <c r="I45" s="8"/>
      <c r="J45" s="9"/>
    </row>
    <row r="46" customFormat="false" ht="23.85" hidden="false" customHeight="false" outlineLevel="0" collapsed="false">
      <c r="A46" s="5" t="n">
        <v>40</v>
      </c>
      <c r="B46" s="6" t="n">
        <v>46420</v>
      </c>
      <c r="C46" s="5" t="s">
        <v>13</v>
      </c>
      <c r="D46" s="5" t="s">
        <v>74</v>
      </c>
      <c r="E46" s="7" t="s">
        <v>75</v>
      </c>
      <c r="F46" s="7" t="s">
        <v>76</v>
      </c>
      <c r="G46" s="5" t="s">
        <v>17</v>
      </c>
      <c r="H46" s="5" t="s">
        <v>18</v>
      </c>
      <c r="I46" s="8"/>
      <c r="J46" s="9"/>
    </row>
    <row r="47" customFormat="false" ht="23.85" hidden="false" customHeight="false" outlineLevel="0" collapsed="false">
      <c r="A47" s="5" t="n">
        <v>41</v>
      </c>
      <c r="B47" s="6" t="n">
        <v>46422</v>
      </c>
      <c r="C47" s="5" t="s">
        <v>20</v>
      </c>
      <c r="D47" s="5" t="s">
        <v>74</v>
      </c>
      <c r="E47" s="7" t="s">
        <v>75</v>
      </c>
      <c r="F47" s="7" t="s">
        <v>77</v>
      </c>
      <c r="G47" s="5" t="s">
        <v>25</v>
      </c>
      <c r="H47" s="5" t="s">
        <v>18</v>
      </c>
      <c r="I47" s="8"/>
      <c r="J47" s="9"/>
    </row>
    <row r="48" customFormat="false" ht="23.85" hidden="false" customHeight="false" outlineLevel="0" collapsed="false">
      <c r="A48" s="5" t="n">
        <v>42</v>
      </c>
      <c r="B48" s="6" t="n">
        <v>46427</v>
      </c>
      <c r="C48" s="5" t="s">
        <v>13</v>
      </c>
      <c r="D48" s="5" t="s">
        <v>74</v>
      </c>
      <c r="E48" s="7" t="s">
        <v>75</v>
      </c>
      <c r="F48" s="7" t="s">
        <v>78</v>
      </c>
      <c r="G48" s="5" t="s">
        <v>62</v>
      </c>
      <c r="H48" s="5" t="s">
        <v>18</v>
      </c>
      <c r="I48" s="8"/>
      <c r="J48" s="9"/>
    </row>
    <row r="49" customFormat="false" ht="23.85" hidden="false" customHeight="false" outlineLevel="0" collapsed="false">
      <c r="A49" s="5" t="n">
        <v>43</v>
      </c>
      <c r="B49" s="6" t="n">
        <v>46429</v>
      </c>
      <c r="C49" s="5" t="s">
        <v>20</v>
      </c>
      <c r="D49" s="5" t="s">
        <v>74</v>
      </c>
      <c r="E49" s="7" t="s">
        <v>75</v>
      </c>
      <c r="F49" s="7" t="s">
        <v>79</v>
      </c>
      <c r="G49" s="5" t="s">
        <v>25</v>
      </c>
      <c r="H49" s="5" t="s">
        <v>18</v>
      </c>
      <c r="I49" s="8"/>
      <c r="J49" s="9"/>
    </row>
    <row r="50" customFormat="false" ht="23.85" hidden="false" customHeight="false" outlineLevel="0" collapsed="false">
      <c r="A50" s="5" t="n">
        <v>44</v>
      </c>
      <c r="B50" s="6" t="n">
        <v>46434</v>
      </c>
      <c r="C50" s="5" t="s">
        <v>13</v>
      </c>
      <c r="D50" s="5" t="s">
        <v>74</v>
      </c>
      <c r="E50" s="7" t="s">
        <v>75</v>
      </c>
      <c r="F50" s="7" t="s">
        <v>80</v>
      </c>
      <c r="G50" s="5" t="s">
        <v>17</v>
      </c>
      <c r="H50" s="5" t="s">
        <v>18</v>
      </c>
      <c r="I50" s="8"/>
      <c r="J50" s="9"/>
    </row>
    <row r="51" customFormat="false" ht="23.85" hidden="false" customHeight="false" outlineLevel="0" collapsed="false">
      <c r="A51" s="5" t="n">
        <v>45</v>
      </c>
      <c r="B51" s="6" t="n">
        <v>46436</v>
      </c>
      <c r="C51" s="5" t="s">
        <v>20</v>
      </c>
      <c r="D51" s="5" t="s">
        <v>74</v>
      </c>
      <c r="E51" s="7" t="s">
        <v>75</v>
      </c>
      <c r="F51" s="7" t="s">
        <v>81</v>
      </c>
      <c r="G51" s="5" t="s">
        <v>25</v>
      </c>
      <c r="H51" s="5" t="s">
        <v>18</v>
      </c>
      <c r="I51" s="8"/>
      <c r="J51" s="9"/>
    </row>
    <row r="52" customFormat="false" ht="23.85" hidden="false" customHeight="false" outlineLevel="0" collapsed="false">
      <c r="A52" s="5" t="n">
        <v>46</v>
      </c>
      <c r="B52" s="6" t="n">
        <v>46441</v>
      </c>
      <c r="C52" s="5" t="s">
        <v>13</v>
      </c>
      <c r="D52" s="5" t="s">
        <v>74</v>
      </c>
      <c r="E52" s="7" t="s">
        <v>75</v>
      </c>
      <c r="F52" s="7" t="s">
        <v>82</v>
      </c>
      <c r="G52" s="5" t="s">
        <v>36</v>
      </c>
      <c r="H52" s="5" t="s">
        <v>18</v>
      </c>
      <c r="I52" s="8"/>
      <c r="J52" s="9"/>
    </row>
    <row r="53" customFormat="false" ht="23.85" hidden="false" customHeight="false" outlineLevel="0" collapsed="false">
      <c r="A53" s="5" t="n">
        <v>47</v>
      </c>
      <c r="B53" s="6" t="n">
        <v>46443</v>
      </c>
      <c r="C53" s="5" t="s">
        <v>20</v>
      </c>
      <c r="D53" s="5" t="s">
        <v>74</v>
      </c>
      <c r="E53" s="7" t="s">
        <v>75</v>
      </c>
      <c r="F53" s="7" t="s">
        <v>83</v>
      </c>
      <c r="G53" s="5" t="s">
        <v>42</v>
      </c>
      <c r="H53" s="5" t="s">
        <v>18</v>
      </c>
      <c r="I53" s="8"/>
      <c r="J53" s="9"/>
    </row>
    <row r="54" customFormat="false" ht="23.85" hidden="false" customHeight="false" outlineLevel="0" collapsed="false">
      <c r="A54" s="5" t="n">
        <v>48</v>
      </c>
      <c r="B54" s="6" t="n">
        <v>46448</v>
      </c>
      <c r="C54" s="5" t="s">
        <v>13</v>
      </c>
      <c r="D54" s="5" t="s">
        <v>84</v>
      </c>
      <c r="E54" s="7" t="s">
        <v>85</v>
      </c>
      <c r="F54" s="7" t="s">
        <v>86</v>
      </c>
      <c r="G54" s="5" t="s">
        <v>17</v>
      </c>
      <c r="H54" s="5" t="s">
        <v>18</v>
      </c>
      <c r="I54" s="8"/>
      <c r="J54" s="9"/>
    </row>
    <row r="55" customFormat="false" ht="23.85" hidden="false" customHeight="false" outlineLevel="0" collapsed="false">
      <c r="A55" s="5" t="n">
        <v>49</v>
      </c>
      <c r="B55" s="6" t="n">
        <v>46450</v>
      </c>
      <c r="C55" s="5" t="s">
        <v>20</v>
      </c>
      <c r="D55" s="5" t="s">
        <v>84</v>
      </c>
      <c r="E55" s="7" t="s">
        <v>85</v>
      </c>
      <c r="F55" s="7" t="s">
        <v>87</v>
      </c>
      <c r="G55" s="5" t="s">
        <v>17</v>
      </c>
      <c r="H55" s="5" t="s">
        <v>47</v>
      </c>
      <c r="I55" s="8"/>
      <c r="J55" s="9"/>
    </row>
    <row r="56" customFormat="false" ht="23.85" hidden="false" customHeight="false" outlineLevel="0" collapsed="false">
      <c r="A56" s="10"/>
      <c r="B56" s="11" t="n">
        <v>46455</v>
      </c>
      <c r="C56" s="10" t="s">
        <v>13</v>
      </c>
      <c r="D56" s="10" t="s">
        <v>84</v>
      </c>
      <c r="E56" s="12" t="s">
        <v>85</v>
      </c>
      <c r="F56" s="12" t="s">
        <v>88</v>
      </c>
      <c r="G56" s="10"/>
      <c r="H56" s="10"/>
      <c r="I56" s="10"/>
      <c r="J56" s="12"/>
    </row>
    <row r="57" customFormat="false" ht="23.85" hidden="false" customHeight="false" outlineLevel="0" collapsed="false">
      <c r="A57" s="10"/>
      <c r="B57" s="11" t="n">
        <v>46457</v>
      </c>
      <c r="C57" s="10" t="s">
        <v>20</v>
      </c>
      <c r="D57" s="10" t="s">
        <v>84</v>
      </c>
      <c r="E57" s="12" t="s">
        <v>85</v>
      </c>
      <c r="F57" s="12" t="s">
        <v>88</v>
      </c>
      <c r="G57" s="10"/>
      <c r="H57" s="10"/>
      <c r="I57" s="10"/>
      <c r="J57" s="12"/>
    </row>
    <row r="58" customFormat="false" ht="23.85" hidden="false" customHeight="false" outlineLevel="0" collapsed="false">
      <c r="A58" s="5" t="n">
        <v>50</v>
      </c>
      <c r="B58" s="6" t="n">
        <v>46462</v>
      </c>
      <c r="C58" s="5" t="s">
        <v>13</v>
      </c>
      <c r="D58" s="5" t="s">
        <v>84</v>
      </c>
      <c r="E58" s="7" t="s">
        <v>85</v>
      </c>
      <c r="F58" s="7" t="s">
        <v>89</v>
      </c>
      <c r="G58" s="5" t="s">
        <v>17</v>
      </c>
      <c r="H58" s="5" t="s">
        <v>47</v>
      </c>
      <c r="I58" s="8"/>
      <c r="J58" s="9"/>
    </row>
    <row r="59" customFormat="false" ht="23.85" hidden="false" customHeight="false" outlineLevel="0" collapsed="false">
      <c r="A59" s="5" t="n">
        <v>51</v>
      </c>
      <c r="B59" s="6" t="n">
        <v>46464</v>
      </c>
      <c r="C59" s="5" t="s">
        <v>20</v>
      </c>
      <c r="D59" s="5" t="s">
        <v>84</v>
      </c>
      <c r="E59" s="7" t="s">
        <v>85</v>
      </c>
      <c r="F59" s="7" t="s">
        <v>90</v>
      </c>
      <c r="G59" s="5" t="s">
        <v>17</v>
      </c>
      <c r="H59" s="5" t="s">
        <v>18</v>
      </c>
      <c r="I59" s="8"/>
      <c r="J59" s="9"/>
    </row>
    <row r="60" customFormat="false" ht="23.85" hidden="false" customHeight="false" outlineLevel="0" collapsed="false">
      <c r="A60" s="5" t="n">
        <v>52</v>
      </c>
      <c r="B60" s="6" t="n">
        <v>46469</v>
      </c>
      <c r="C60" s="5" t="s">
        <v>13</v>
      </c>
      <c r="D60" s="5" t="s">
        <v>84</v>
      </c>
      <c r="E60" s="7" t="s">
        <v>85</v>
      </c>
      <c r="F60" s="7" t="s">
        <v>91</v>
      </c>
      <c r="G60" s="5" t="s">
        <v>42</v>
      </c>
      <c r="H60" s="5" t="s">
        <v>18</v>
      </c>
      <c r="I60" s="8"/>
      <c r="J60" s="9"/>
    </row>
    <row r="61" customFormat="false" ht="23.85" hidden="false" customHeight="false" outlineLevel="0" collapsed="false">
      <c r="A61" s="5" t="n">
        <v>53</v>
      </c>
      <c r="B61" s="6" t="n">
        <v>46471</v>
      </c>
      <c r="C61" s="5" t="s">
        <v>20</v>
      </c>
      <c r="D61" s="5" t="s">
        <v>84</v>
      </c>
      <c r="E61" s="7" t="s">
        <v>85</v>
      </c>
      <c r="F61" s="7" t="s">
        <v>92</v>
      </c>
      <c r="G61" s="5" t="s">
        <v>17</v>
      </c>
      <c r="H61" s="5" t="s">
        <v>18</v>
      </c>
      <c r="I61" s="8"/>
      <c r="J61" s="9"/>
    </row>
    <row r="62" customFormat="false" ht="23.85" hidden="false" customHeight="false" outlineLevel="0" collapsed="false">
      <c r="A62" s="5" t="n">
        <v>54</v>
      </c>
      <c r="B62" s="6" t="n">
        <v>46476</v>
      </c>
      <c r="C62" s="5" t="s">
        <v>13</v>
      </c>
      <c r="D62" s="5" t="s">
        <v>84</v>
      </c>
      <c r="E62" s="7" t="s">
        <v>85</v>
      </c>
      <c r="F62" s="7" t="s">
        <v>93</v>
      </c>
      <c r="G62" s="5" t="s">
        <v>17</v>
      </c>
      <c r="H62" s="5" t="s">
        <v>47</v>
      </c>
      <c r="I62" s="8"/>
      <c r="J62" s="9"/>
    </row>
    <row r="63" customFormat="false" ht="15" hidden="false" customHeight="false" outlineLevel="0" collapsed="false">
      <c r="A63" s="5" t="n">
        <v>55</v>
      </c>
      <c r="B63" s="6" t="n">
        <v>46478</v>
      </c>
      <c r="C63" s="5" t="s">
        <v>20</v>
      </c>
      <c r="D63" s="5" t="s">
        <v>94</v>
      </c>
      <c r="E63" s="7" t="s">
        <v>95</v>
      </c>
      <c r="F63" s="7" t="s">
        <v>96</v>
      </c>
      <c r="G63" s="5" t="s">
        <v>17</v>
      </c>
      <c r="H63" s="5" t="s">
        <v>18</v>
      </c>
      <c r="I63" s="8"/>
      <c r="J63" s="9"/>
    </row>
    <row r="64" customFormat="false" ht="15" hidden="false" customHeight="false" outlineLevel="0" collapsed="false">
      <c r="A64" s="5" t="n">
        <v>56</v>
      </c>
      <c r="B64" s="6" t="n">
        <v>46483</v>
      </c>
      <c r="C64" s="5" t="s">
        <v>13</v>
      </c>
      <c r="D64" s="5" t="s">
        <v>94</v>
      </c>
      <c r="E64" s="7" t="s">
        <v>95</v>
      </c>
      <c r="F64" s="7" t="s">
        <v>97</v>
      </c>
      <c r="G64" s="5" t="s">
        <v>17</v>
      </c>
      <c r="H64" s="5" t="s">
        <v>18</v>
      </c>
      <c r="I64" s="8"/>
      <c r="J64" s="9"/>
    </row>
    <row r="65" customFormat="false" ht="23.85" hidden="false" customHeight="false" outlineLevel="0" collapsed="false">
      <c r="A65" s="5" t="n">
        <v>57</v>
      </c>
      <c r="B65" s="6" t="n">
        <v>46485</v>
      </c>
      <c r="C65" s="5" t="s">
        <v>20</v>
      </c>
      <c r="D65" s="5" t="s">
        <v>94</v>
      </c>
      <c r="E65" s="7" t="s">
        <v>95</v>
      </c>
      <c r="F65" s="7" t="s">
        <v>98</v>
      </c>
      <c r="G65" s="5" t="s">
        <v>17</v>
      </c>
      <c r="H65" s="5" t="s">
        <v>18</v>
      </c>
      <c r="I65" s="8"/>
      <c r="J65" s="9"/>
    </row>
    <row r="66" customFormat="false" ht="15" hidden="false" customHeight="false" outlineLevel="0" collapsed="false">
      <c r="A66" s="5" t="n">
        <v>58</v>
      </c>
      <c r="B66" s="6" t="n">
        <v>46490</v>
      </c>
      <c r="C66" s="5" t="s">
        <v>13</v>
      </c>
      <c r="D66" s="5" t="s">
        <v>94</v>
      </c>
      <c r="E66" s="7" t="s">
        <v>95</v>
      </c>
      <c r="F66" s="7" t="s">
        <v>99</v>
      </c>
      <c r="G66" s="5" t="s">
        <v>17</v>
      </c>
      <c r="H66" s="5" t="s">
        <v>18</v>
      </c>
      <c r="I66" s="8"/>
      <c r="J66" s="9"/>
    </row>
    <row r="67" customFormat="false" ht="23.85" hidden="false" customHeight="false" outlineLevel="0" collapsed="false">
      <c r="A67" s="5" t="n">
        <v>59</v>
      </c>
      <c r="B67" s="6" t="n">
        <v>46492</v>
      </c>
      <c r="C67" s="5" t="s">
        <v>20</v>
      </c>
      <c r="D67" s="5" t="s">
        <v>94</v>
      </c>
      <c r="E67" s="7" t="s">
        <v>95</v>
      </c>
      <c r="F67" s="7" t="s">
        <v>100</v>
      </c>
      <c r="G67" s="5" t="s">
        <v>17</v>
      </c>
      <c r="H67" s="5" t="s">
        <v>47</v>
      </c>
      <c r="I67" s="8"/>
      <c r="J67" s="9"/>
    </row>
    <row r="68" customFormat="false" ht="23.85" hidden="false" customHeight="false" outlineLevel="0" collapsed="false">
      <c r="A68" s="5" t="n">
        <v>60</v>
      </c>
      <c r="B68" s="6" t="n">
        <v>46497</v>
      </c>
      <c r="C68" s="5" t="s">
        <v>13</v>
      </c>
      <c r="D68" s="5" t="s">
        <v>94</v>
      </c>
      <c r="E68" s="7" t="s">
        <v>95</v>
      </c>
      <c r="F68" s="7" t="s">
        <v>101</v>
      </c>
      <c r="G68" s="5" t="s">
        <v>25</v>
      </c>
      <c r="H68" s="5" t="s">
        <v>18</v>
      </c>
      <c r="I68" s="8"/>
      <c r="J68" s="9"/>
    </row>
    <row r="69" customFormat="false" ht="23.85" hidden="false" customHeight="false" outlineLevel="0" collapsed="false">
      <c r="A69" s="5" t="n">
        <v>61</v>
      </c>
      <c r="B69" s="6" t="n">
        <v>46499</v>
      </c>
      <c r="C69" s="5" t="s">
        <v>20</v>
      </c>
      <c r="D69" s="5" t="s">
        <v>94</v>
      </c>
      <c r="E69" s="7" t="s">
        <v>95</v>
      </c>
      <c r="F69" s="7" t="s">
        <v>102</v>
      </c>
      <c r="G69" s="5" t="s">
        <v>17</v>
      </c>
      <c r="H69" s="5" t="s">
        <v>18</v>
      </c>
      <c r="I69" s="8"/>
      <c r="J69" s="9"/>
    </row>
    <row r="70" customFormat="false" ht="15" hidden="false" customHeight="false" outlineLevel="0" collapsed="false">
      <c r="A70" s="5" t="n">
        <v>62</v>
      </c>
      <c r="B70" s="6" t="n">
        <v>46504</v>
      </c>
      <c r="C70" s="5" t="s">
        <v>13</v>
      </c>
      <c r="D70" s="5" t="s">
        <v>94</v>
      </c>
      <c r="E70" s="7" t="s">
        <v>95</v>
      </c>
      <c r="F70" s="7" t="s">
        <v>103</v>
      </c>
      <c r="G70" s="5" t="s">
        <v>17</v>
      </c>
      <c r="H70" s="5" t="s">
        <v>18</v>
      </c>
      <c r="I70" s="8"/>
      <c r="J70" s="9"/>
    </row>
    <row r="71" customFormat="false" ht="15" hidden="false" customHeight="false" outlineLevel="0" collapsed="false">
      <c r="A71" s="5" t="n">
        <v>63</v>
      </c>
      <c r="B71" s="6" t="n">
        <v>46506</v>
      </c>
      <c r="C71" s="5" t="s">
        <v>20</v>
      </c>
      <c r="D71" s="5" t="s">
        <v>94</v>
      </c>
      <c r="E71" s="7" t="s">
        <v>95</v>
      </c>
      <c r="F71" s="7" t="s">
        <v>104</v>
      </c>
      <c r="G71" s="5" t="s">
        <v>36</v>
      </c>
      <c r="H71" s="5" t="s">
        <v>18</v>
      </c>
      <c r="I71" s="8"/>
      <c r="J71" s="9"/>
    </row>
    <row r="72" customFormat="false" ht="15" hidden="false" customHeight="false" outlineLevel="0" collapsed="false">
      <c r="A72" s="5" t="n">
        <v>64</v>
      </c>
      <c r="B72" s="6" t="n">
        <v>46511</v>
      </c>
      <c r="C72" s="5" t="s">
        <v>13</v>
      </c>
      <c r="D72" s="5" t="s">
        <v>105</v>
      </c>
      <c r="E72" s="7" t="s">
        <v>106</v>
      </c>
      <c r="F72" s="7" t="s">
        <v>107</v>
      </c>
      <c r="G72" s="5" t="s">
        <v>17</v>
      </c>
      <c r="H72" s="5" t="s">
        <v>47</v>
      </c>
      <c r="I72" s="8"/>
      <c r="J72" s="9"/>
    </row>
    <row r="73" customFormat="false" ht="23.85" hidden="false" customHeight="false" outlineLevel="0" collapsed="false">
      <c r="A73" s="5" t="n">
        <v>65</v>
      </c>
      <c r="B73" s="6" t="n">
        <v>46513</v>
      </c>
      <c r="C73" s="5" t="s">
        <v>20</v>
      </c>
      <c r="D73" s="5" t="s">
        <v>105</v>
      </c>
      <c r="E73" s="7" t="s">
        <v>106</v>
      </c>
      <c r="F73" s="7" t="s">
        <v>108</v>
      </c>
      <c r="G73" s="5" t="s">
        <v>36</v>
      </c>
      <c r="H73" s="5" t="s">
        <v>47</v>
      </c>
      <c r="I73" s="8"/>
      <c r="J73" s="9"/>
    </row>
    <row r="74" customFormat="false" ht="23.85" hidden="false" customHeight="false" outlineLevel="0" collapsed="false">
      <c r="A74" s="5" t="n">
        <v>66</v>
      </c>
      <c r="B74" s="6" t="n">
        <v>46518</v>
      </c>
      <c r="C74" s="5" t="s">
        <v>13</v>
      </c>
      <c r="D74" s="5" t="s">
        <v>105</v>
      </c>
      <c r="E74" s="7" t="s">
        <v>106</v>
      </c>
      <c r="F74" s="7" t="s">
        <v>109</v>
      </c>
      <c r="G74" s="5" t="s">
        <v>17</v>
      </c>
      <c r="H74" s="5" t="s">
        <v>18</v>
      </c>
      <c r="I74" s="8"/>
      <c r="J74" s="9"/>
    </row>
    <row r="75" customFormat="false" ht="15" hidden="false" customHeight="false" outlineLevel="0" collapsed="false">
      <c r="A75" s="5" t="n">
        <v>67</v>
      </c>
      <c r="B75" s="6" t="n">
        <v>46520</v>
      </c>
      <c r="C75" s="5" t="s">
        <v>20</v>
      </c>
      <c r="D75" s="5" t="s">
        <v>105</v>
      </c>
      <c r="E75" s="7" t="s">
        <v>106</v>
      </c>
      <c r="F75" s="7" t="s">
        <v>110</v>
      </c>
      <c r="G75" s="5" t="s">
        <v>42</v>
      </c>
      <c r="H75" s="5" t="s">
        <v>18</v>
      </c>
      <c r="I75" s="8"/>
      <c r="J75" s="9"/>
    </row>
    <row r="76" customFormat="false" ht="15" hidden="false" customHeight="false" outlineLevel="0" collapsed="false">
      <c r="A76" s="10"/>
      <c r="B76" s="11" t="n">
        <v>46525</v>
      </c>
      <c r="C76" s="10" t="s">
        <v>13</v>
      </c>
      <c r="D76" s="10" t="s">
        <v>105</v>
      </c>
      <c r="E76" s="12" t="s">
        <v>106</v>
      </c>
      <c r="F76" s="12" t="s">
        <v>111</v>
      </c>
      <c r="G76" s="10"/>
      <c r="H76" s="10"/>
      <c r="I76" s="10"/>
      <c r="J76" s="12"/>
    </row>
    <row r="77" customFormat="false" ht="15" hidden="false" customHeight="false" outlineLevel="0" collapsed="false">
      <c r="A77" s="5" t="n">
        <v>68</v>
      </c>
      <c r="B77" s="6" t="n">
        <v>46527</v>
      </c>
      <c r="C77" s="5" t="s">
        <v>20</v>
      </c>
      <c r="D77" s="5" t="s">
        <v>105</v>
      </c>
      <c r="E77" s="7" t="s">
        <v>106</v>
      </c>
      <c r="F77" s="7" t="s">
        <v>112</v>
      </c>
      <c r="G77" s="5" t="s">
        <v>17</v>
      </c>
      <c r="H77" s="5" t="s">
        <v>47</v>
      </c>
      <c r="I77" s="8"/>
      <c r="J77" s="9"/>
    </row>
    <row r="78" customFormat="false" ht="15" hidden="false" customHeight="false" outlineLevel="0" collapsed="false">
      <c r="A78" s="5" t="n">
        <v>69</v>
      </c>
      <c r="B78" s="6" t="n">
        <v>46532</v>
      </c>
      <c r="C78" s="5" t="s">
        <v>13</v>
      </c>
      <c r="D78" s="5" t="s">
        <v>105</v>
      </c>
      <c r="E78" s="7" t="s">
        <v>106</v>
      </c>
      <c r="F78" s="7" t="s">
        <v>113</v>
      </c>
      <c r="G78" s="5" t="s">
        <v>17</v>
      </c>
      <c r="H78" s="5" t="s">
        <v>18</v>
      </c>
      <c r="I78" s="8"/>
      <c r="J78" s="9"/>
    </row>
    <row r="79" customFormat="false" ht="15" hidden="false" customHeight="false" outlineLevel="0" collapsed="false">
      <c r="A79" s="5" t="n">
        <v>70</v>
      </c>
      <c r="B79" s="6" t="n">
        <v>46534</v>
      </c>
      <c r="C79" s="5" t="s">
        <v>20</v>
      </c>
      <c r="D79" s="5" t="s">
        <v>105</v>
      </c>
      <c r="E79" s="7" t="s">
        <v>106</v>
      </c>
      <c r="F79" s="7" t="s">
        <v>114</v>
      </c>
      <c r="G79" s="5" t="s">
        <v>25</v>
      </c>
      <c r="H79" s="5" t="s">
        <v>18</v>
      </c>
      <c r="I79" s="8"/>
      <c r="J79" s="9"/>
    </row>
    <row r="80" customFormat="false" ht="23.85" hidden="false" customHeight="false" outlineLevel="0" collapsed="false">
      <c r="A80" s="5" t="n">
        <v>71</v>
      </c>
      <c r="B80" s="6" t="n">
        <v>46539</v>
      </c>
      <c r="C80" s="5" t="s">
        <v>13</v>
      </c>
      <c r="D80" s="5" t="s">
        <v>115</v>
      </c>
      <c r="E80" s="7" t="s">
        <v>116</v>
      </c>
      <c r="F80" s="7" t="s">
        <v>117</v>
      </c>
      <c r="G80" s="5" t="s">
        <v>36</v>
      </c>
      <c r="H80" s="5" t="s">
        <v>47</v>
      </c>
      <c r="I80" s="8"/>
      <c r="J80" s="9"/>
    </row>
    <row r="81" customFormat="false" ht="23.85" hidden="false" customHeight="false" outlineLevel="0" collapsed="false">
      <c r="A81" s="5" t="n">
        <v>72</v>
      </c>
      <c r="B81" s="6" t="n">
        <v>46541</v>
      </c>
      <c r="C81" s="5" t="s">
        <v>20</v>
      </c>
      <c r="D81" s="5" t="s">
        <v>115</v>
      </c>
      <c r="E81" s="7" t="s">
        <v>116</v>
      </c>
      <c r="F81" s="7" t="s">
        <v>118</v>
      </c>
      <c r="G81" s="5" t="s">
        <v>17</v>
      </c>
      <c r="H81" s="5" t="s">
        <v>47</v>
      </c>
      <c r="I81" s="8"/>
      <c r="J81" s="9"/>
    </row>
    <row r="82" customFormat="false" ht="23.85" hidden="false" customHeight="false" outlineLevel="0" collapsed="false">
      <c r="A82" s="5" t="n">
        <v>73</v>
      </c>
      <c r="B82" s="6" t="n">
        <v>46546</v>
      </c>
      <c r="C82" s="5" t="s">
        <v>13</v>
      </c>
      <c r="D82" s="5" t="s">
        <v>115</v>
      </c>
      <c r="E82" s="7" t="s">
        <v>116</v>
      </c>
      <c r="F82" s="7" t="s">
        <v>119</v>
      </c>
      <c r="G82" s="5" t="s">
        <v>17</v>
      </c>
      <c r="H82" s="5" t="s">
        <v>47</v>
      </c>
      <c r="I82" s="8"/>
      <c r="J82" s="9"/>
    </row>
    <row r="83" customFormat="false" ht="15" hidden="false" customHeight="false" outlineLevel="0" collapsed="false">
      <c r="A83" s="5" t="n">
        <v>74</v>
      </c>
      <c r="B83" s="6" t="n">
        <v>46548</v>
      </c>
      <c r="C83" s="5" t="s">
        <v>20</v>
      </c>
      <c r="D83" s="5" t="s">
        <v>115</v>
      </c>
      <c r="E83" s="7" t="s">
        <v>116</v>
      </c>
      <c r="F83" s="7" t="s">
        <v>120</v>
      </c>
      <c r="G83" s="5" t="s">
        <v>73</v>
      </c>
      <c r="H83" s="5" t="s">
        <v>18</v>
      </c>
      <c r="I83" s="8"/>
      <c r="J83" s="9"/>
    </row>
    <row r="84" customFormat="false" ht="23.85" hidden="false" customHeight="false" outlineLevel="0" collapsed="false">
      <c r="A84" s="5" t="n">
        <v>75</v>
      </c>
      <c r="B84" s="6" t="n">
        <v>46553</v>
      </c>
      <c r="C84" s="5" t="s">
        <v>13</v>
      </c>
      <c r="D84" s="5" t="s">
        <v>115</v>
      </c>
      <c r="E84" s="7" t="s">
        <v>116</v>
      </c>
      <c r="F84" s="7" t="s">
        <v>121</v>
      </c>
      <c r="G84" s="5" t="s">
        <v>73</v>
      </c>
      <c r="H84" s="5" t="s">
        <v>18</v>
      </c>
      <c r="I84" s="8"/>
      <c r="J84" s="9"/>
    </row>
  </sheetData>
  <autoFilter ref="A5:J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4" min="4" style="0" width="28"/>
    <col collapsed="false" customWidth="true" hidden="false" outlineLevel="0" max="6" min="5" style="0" width="10"/>
  </cols>
  <sheetData>
    <row r="1" customFormat="false" ht="17.35" hidden="false" customHeight="false" outlineLevel="0" collapsed="false">
      <c r="A1" s="1" t="s">
        <v>122</v>
      </c>
    </row>
    <row r="3" customFormat="false" ht="15" hidden="false" customHeight="false" outlineLevel="0" collapsed="false">
      <c r="A3" s="13" t="s">
        <v>7</v>
      </c>
      <c r="B3" s="13" t="s">
        <v>123</v>
      </c>
      <c r="D3" s="13" t="s">
        <v>9</v>
      </c>
      <c r="E3" s="13" t="s">
        <v>124</v>
      </c>
      <c r="F3" s="13" t="s">
        <v>125</v>
      </c>
    </row>
    <row r="4" customFormat="false" ht="15" hidden="false" customHeight="false" outlineLevel="0" collapsed="false">
      <c r="A4" s="14" t="s">
        <v>15</v>
      </c>
      <c r="B4" s="14" t="n">
        <f aca="false">COUNTIFS('Ders Programı'!$E$6:$E$84,A4,'Ders Programı'!$A$6:$A$84,"&gt;0")</f>
        <v>5</v>
      </c>
      <c r="D4" s="14" t="s">
        <v>126</v>
      </c>
      <c r="E4" s="14" t="n">
        <f aca="false">COUNTIF('Ders Programı'!$G$6:$G$84,"D")</f>
        <v>39</v>
      </c>
      <c r="F4" s="15" t="n">
        <f aca="false">E4/$E$10</f>
        <v>0.52</v>
      </c>
    </row>
    <row r="5" customFormat="false" ht="15" hidden="false" customHeight="false" outlineLevel="0" collapsed="false">
      <c r="A5" s="14" t="s">
        <v>27</v>
      </c>
      <c r="B5" s="14" t="n">
        <f aca="false">COUNTIFS('Ders Programı'!$E$6:$E$84,A5,'Ders Programı'!$A$6:$A$84,"&gt;0")</f>
        <v>8</v>
      </c>
      <c r="D5" s="14" t="s">
        <v>127</v>
      </c>
      <c r="E5" s="14" t="n">
        <f aca="false">COUNTIF('Ders Programı'!$G$6:$G$84,"OT")</f>
        <v>15</v>
      </c>
      <c r="F5" s="15" t="n">
        <f aca="false">E5/$E$10</f>
        <v>0.2</v>
      </c>
    </row>
    <row r="6" customFormat="false" ht="15" hidden="false" customHeight="false" outlineLevel="0" collapsed="false">
      <c r="A6" s="14" t="s">
        <v>39</v>
      </c>
      <c r="B6" s="14" t="n">
        <f aca="false">COUNTIFS('Ders Programı'!$E$6:$E$84,A6,'Ders Programı'!$A$6:$A$84,"&gt;0")</f>
        <v>8</v>
      </c>
      <c r="D6" s="14" t="s">
        <v>128</v>
      </c>
      <c r="E6" s="14" t="n">
        <f aca="false">COUNTIF('Ders Programı'!$G$6:$G$84,"P")</f>
        <v>9</v>
      </c>
      <c r="F6" s="15" t="n">
        <f aca="false">E6/$E$10</f>
        <v>0.12</v>
      </c>
    </row>
    <row r="7" customFormat="false" ht="15" hidden="false" customHeight="false" outlineLevel="0" collapsed="false">
      <c r="A7" s="14" t="s">
        <v>51</v>
      </c>
      <c r="B7" s="14" t="n">
        <f aca="false">COUNTIFS('Ders Programı'!$E$6:$E$84,A7,'Ders Programı'!$A$6:$A$84,"&gt;0")</f>
        <v>10</v>
      </c>
      <c r="D7" s="14" t="s">
        <v>129</v>
      </c>
      <c r="E7" s="14" t="n">
        <f aca="false">COUNTIF('Ders Programı'!$G$6:$G$84,"KO")</f>
        <v>7</v>
      </c>
      <c r="F7" s="15" t="n">
        <f aca="false">E7/$E$10</f>
        <v>0.0933333333333333</v>
      </c>
    </row>
    <row r="8" customFormat="false" ht="15" hidden="false" customHeight="false" outlineLevel="0" collapsed="false">
      <c r="A8" s="14" t="s">
        <v>64</v>
      </c>
      <c r="B8" s="14" t="n">
        <f aca="false">COUNTIFS('Ders Programı'!$E$6:$E$84,A8,'Ders Programı'!$A$6:$A$84,"&gt;0")</f>
        <v>8</v>
      </c>
      <c r="D8" s="14" t="s">
        <v>130</v>
      </c>
      <c r="E8" s="14" t="n">
        <f aca="false">COUNTIF('Ders Programı'!$G$6:$G$84,"JC")</f>
        <v>2</v>
      </c>
      <c r="F8" s="15" t="n">
        <f aca="false">E8/$E$10</f>
        <v>0.0266666666666667</v>
      </c>
    </row>
    <row r="9" customFormat="false" ht="15" hidden="false" customHeight="false" outlineLevel="0" collapsed="false">
      <c r="A9" s="14" t="s">
        <v>75</v>
      </c>
      <c r="B9" s="14" t="n">
        <f aca="false">COUNTIFS('Ders Programı'!$E$6:$E$84,A9,'Ders Programı'!$A$6:$A$84,"&gt;0")</f>
        <v>8</v>
      </c>
      <c r="D9" s="14" t="s">
        <v>131</v>
      </c>
      <c r="E9" s="14" t="n">
        <f aca="false">COUNTIF('Ders Programı'!$G$6:$G$84,"Değ")</f>
        <v>3</v>
      </c>
      <c r="F9" s="15" t="n">
        <f aca="false">E9/$E$10</f>
        <v>0.04</v>
      </c>
    </row>
    <row r="10" customFormat="false" ht="15" hidden="false" customHeight="false" outlineLevel="0" collapsed="false">
      <c r="A10" s="14" t="s">
        <v>85</v>
      </c>
      <c r="B10" s="14" t="n">
        <f aca="false">COUNTIFS('Ders Programı'!$E$6:$E$84,A10,'Ders Programı'!$A$6:$A$84,"&gt;0")</f>
        <v>7</v>
      </c>
      <c r="D10" s="16" t="s">
        <v>132</v>
      </c>
      <c r="E10" s="16" t="n">
        <f aca="false">SUM(E4:E9)</f>
        <v>75</v>
      </c>
    </row>
    <row r="11" customFormat="false" ht="15" hidden="false" customHeight="false" outlineLevel="0" collapsed="false">
      <c r="A11" s="14" t="s">
        <v>95</v>
      </c>
      <c r="B11" s="14" t="n">
        <f aca="false">COUNTIFS('Ders Programı'!$E$6:$E$84,A11,'Ders Programı'!$A$6:$A$84,"&gt;0")</f>
        <v>9</v>
      </c>
    </row>
    <row r="12" customFormat="false" ht="15" hidden="false" customHeight="false" outlineLevel="0" collapsed="false">
      <c r="A12" s="14" t="s">
        <v>106</v>
      </c>
      <c r="B12" s="14" t="n">
        <f aca="false">COUNTIFS('Ders Programı'!$E$6:$E$84,A12,'Ders Programı'!$A$6:$A$84,"&gt;0")</f>
        <v>7</v>
      </c>
      <c r="D12" s="13" t="s">
        <v>10</v>
      </c>
      <c r="E12" s="13" t="s">
        <v>124</v>
      </c>
    </row>
    <row r="13" customFormat="false" ht="15" hidden="false" customHeight="false" outlineLevel="0" collapsed="false">
      <c r="A13" s="14" t="s">
        <v>116</v>
      </c>
      <c r="B13" s="14" t="n">
        <f aca="false">COUNTIFS('Ders Programı'!$E$6:$E$84,A13,'Ders Programı'!$A$6:$A$84,"&gt;0")</f>
        <v>5</v>
      </c>
      <c r="D13" s="14" t="s">
        <v>133</v>
      </c>
      <c r="E13" s="14" t="n">
        <f aca="false">COUNTIF('Ders Programı'!$H$6:$H$84,"Ç")</f>
        <v>58</v>
      </c>
    </row>
    <row r="14" customFormat="false" ht="15" hidden="false" customHeight="false" outlineLevel="0" collapsed="false">
      <c r="A14" s="16" t="s">
        <v>132</v>
      </c>
      <c r="B14" s="16" t="n">
        <f aca="false">SUM(B4:B13)</f>
        <v>75</v>
      </c>
      <c r="D14" s="14" t="s">
        <v>134</v>
      </c>
      <c r="E14" s="14" t="n">
        <f aca="false">COUNTIF('Ders Programı'!$H$6:$H$84,"İ")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135</v>
      </c>
    </row>
    <row r="3" customFormat="false" ht="42" hidden="false" customHeight="true" outlineLevel="0" collapsed="false">
      <c r="A3" s="17" t="s">
        <v>136</v>
      </c>
      <c r="B3" s="18" t="s">
        <v>137</v>
      </c>
    </row>
    <row r="4" customFormat="false" ht="42" hidden="false" customHeight="true" outlineLevel="0" collapsed="false">
      <c r="A4" s="17" t="s">
        <v>138</v>
      </c>
      <c r="B4" s="18" t="s">
        <v>139</v>
      </c>
    </row>
    <row r="5" customFormat="false" ht="42" hidden="false" customHeight="true" outlineLevel="0" collapsed="false">
      <c r="A5" s="17" t="s">
        <v>140</v>
      </c>
      <c r="B5" s="18" t="s">
        <v>141</v>
      </c>
    </row>
    <row r="6" customFormat="false" ht="42" hidden="false" customHeight="true" outlineLevel="0" collapsed="false">
      <c r="A6" s="17" t="s">
        <v>142</v>
      </c>
      <c r="B6" s="18" t="s">
        <v>143</v>
      </c>
    </row>
    <row r="7" customFormat="false" ht="42" hidden="false" customHeight="true" outlineLevel="0" collapsed="false">
      <c r="A7" s="17" t="s">
        <v>144</v>
      </c>
      <c r="B7" s="18" t="s">
        <v>145</v>
      </c>
    </row>
    <row r="8" customFormat="false" ht="42" hidden="false" customHeight="true" outlineLevel="0" collapsed="false">
      <c r="A8" s="17" t="s">
        <v>146</v>
      </c>
      <c r="B8" s="18" t="s">
        <v>147</v>
      </c>
    </row>
    <row r="9" customFormat="false" ht="42" hidden="false" customHeight="true" outlineLevel="0" collapsed="false">
      <c r="A9" s="17" t="s">
        <v>148</v>
      </c>
      <c r="B9" s="18" t="s">
        <v>149</v>
      </c>
    </row>
    <row r="10" customFormat="false" ht="42" hidden="false" customHeight="true" outlineLevel="0" collapsed="false">
      <c r="A10" s="17" t="s">
        <v>150</v>
      </c>
      <c r="B10" s="18" t="s">
        <v>151</v>
      </c>
    </row>
    <row r="11" customFormat="false" ht="42" hidden="false" customHeight="true" outlineLevel="0" collapsed="false">
      <c r="A11" s="17" t="s">
        <v>152</v>
      </c>
      <c r="B11" s="18" t="s">
        <v>153</v>
      </c>
    </row>
    <row r="12" customFormat="false" ht="42" hidden="false" customHeight="true" outlineLevel="0" collapsed="false">
      <c r="A12" s="17" t="s">
        <v>154</v>
      </c>
      <c r="B12" s="18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2026-08-25T11:42:15Z</dcterms:created>
  <dc:creator>openpyxl</dc:creator>
  <dc:description/>
  <dc:language>en-US</dc:language>
  <cp:lastModifiedBy/>
  <dcterms:modified xsi:type="dcterms:W3CDTF">2026-08-25T11:42:15Z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